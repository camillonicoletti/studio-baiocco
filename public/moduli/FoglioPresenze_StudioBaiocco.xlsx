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esktop/sito_mamma/public/moduli/"/>
    </mc:Choice>
  </mc:AlternateContent>
  <xr:revisionPtr revIDLastSave="0" documentId="13_ncr:1_{D5C531FF-E77C-854F-9AA5-94166617CA2F}" xr6:coauthVersionLast="47" xr6:coauthVersionMax="47" xr10:uidLastSave="{00000000-0000-0000-0000-000000000000}"/>
  <bookViews>
    <workbookView xWindow="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<sst xmlns="http://schemas.openxmlformats.org/spreadsheetml/2006/main" count="83" uniqueCount="27">
  <si>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</si>
  <si>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</si>
  <si>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</si>
  <si>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</si>
  <si>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</si>
  <si>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</si>
  <si>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</si>
  <si>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</si>
  <si>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</si>
  <si>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</si>
  <si>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</si>
  <si>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</si>
  <si>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</si>
  <si>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</si>
  <si>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</si>
  <si>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</si>
  <si>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</si>
  <si>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</si>
  <si>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</si>
  <si>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</si>
  <si>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</si>
  <si>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</si>
  <si>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</si>
  <si>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</si>
  <si>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</si>
  <si>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</si>
  <si>
    <t>www.studioromanabaiocco.it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</si>
</sst>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22"/>
      <color rgb="FFFF0000"/>
      <name val="Arial"/>
      <family val="2"/>
    </font>
    <font>
      <b/>
      <sz val="24"/>
      <color rgb="FF1A2B4A"/>
      <name val="Arial"/>
      <family val="2"/>
    </font>
    <font>
      <b/>
      <sz val="26"/>
      <color rgb="FF1A2B4A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  <font>
      <u/>
      <sz val="11"/>
      <color theme="10"/>
      <name val="Calibri"/>
      <family val="2"/>
      <charset val="1"/>
    </font>
    <font>
      <b/>
      <i/>
      <u/>
      <sz val="16"/>
      <color theme="0"/>
      <name val="Calibri"/>
      <family val="2"/>
    </font>
    <font>
      <b/>
      <i/>
      <sz val="16"/>
      <color theme="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61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0" fillId="0" borderId="0" xfId="0"/>
    <xf numFmtId="49" fontId="0" fillId="9" borderId="1" xfId="0" applyNumberFormat="1" applyFill="1" applyBorder="1" applyAlignment="1" applyProtection="1">
      <alignment horizontal="left" vertical="justify"/>
      <protection locked="0"/>
    </xf>
    <xf numFmtId="49" fontId="0" fillId="0" borderId="9" xfId="0" applyNumberFormat="1" applyBorder="1" applyAlignment="1" applyProtection="1">
      <alignment horizontal="left" vertical="justify"/>
      <protection locked="0"/>
    </xf>
    <xf numFmtId="49" fontId="0" fillId="0" borderId="10" xfId="0" applyNumberFormat="1" applyBorder="1" applyAlignment="1" applyProtection="1">
      <alignment horizontal="left" vertical="justify"/>
      <protection locked="0"/>
    </xf>
    <xf numFmtId="0" fontId="2" fillId="15" borderId="0" xfId="0" applyFont="1" applyFill="1" applyAlignment="1">
      <alignment horizontal="center" vertical="center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0" fillId="0" borderId="9" xfId="0" applyBorder="1"/>
    <xf numFmtId="0" fontId="0" fillId="0" borderId="10" xfId="0" applyBorder="1"/>
    <xf numFmtId="0" fontId="16" fillId="2" borderId="19" xfId="1" applyFont="1" applyFill="1" applyBorder="1" applyAlignment="1">
      <alignment horizontal="center" vertical="center"/>
    </xf>
    <xf numFmtId="0" fontId="17" fillId="0" borderId="11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6" fillId="4" borderId="1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0" fillId="0" borderId="8" xfId="0" applyBorder="1"/>
    <xf numFmtId="0" fontId="3" fillId="2" borderId="18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9" fillId="2" borderId="14" xfId="0" applyFont="1" applyFill="1" applyBorder="1" applyAlignment="1">
      <alignment horizontal="right" vertical="center"/>
    </xf>
    <xf numFmtId="0" fontId="0" fillId="0" borderId="15" xfId="0" applyBorder="1"/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7" fillId="6" borderId="18" xfId="0" applyFont="1" applyFill="1" applyBorder="1" applyAlignment="1" applyProtection="1">
      <alignment horizontal="center" vertical="center"/>
      <protection locked="0"/>
    </xf>
    <xf numFmtId="0" fontId="5" fillId="2" borderId="8" xfId="0" applyFont="1" applyFill="1" applyBorder="1" applyAlignment="1">
      <alignment horizontal="center" vertical="center" wrapText="1"/>
    </xf>
    <xf numFmtId="0" fontId="0" fillId="2" borderId="8" xfId="0" applyFill="1" applyBorder="1"/>
    <xf numFmtId="0" fontId="5" fillId="5" borderId="2" xfId="0" applyFont="1" applyFill="1" applyBorder="1" applyAlignment="1">
      <alignment horizontal="center" vertical="center" wrapText="1"/>
    </xf>
    <xf numFmtId="0" fontId="0" fillId="0" borderId="7" xfId="0" applyBorder="1"/>
    <xf numFmtId="0" fontId="3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3" fillId="4" borderId="0" xfId="0" applyFont="1" applyFill="1" applyAlignment="1" applyProtection="1">
      <alignment horizontal="center" vertical="center"/>
      <protection locked="0"/>
    </xf>
    <xf numFmtId="0" fontId="12" fillId="3" borderId="16" xfId="0" applyFont="1" applyFill="1" applyBorder="1" applyAlignment="1" applyProtection="1">
      <alignment horizontal="center" vertical="center"/>
      <protection locked="0"/>
    </xf>
    <xf numFmtId="0" fontId="0" fillId="0" borderId="5" xfId="0" applyBorder="1"/>
    <xf numFmtId="0" fontId="0" fillId="0" borderId="17" xfId="0" applyBorder="1"/>
    <xf numFmtId="0" fontId="10" fillId="15" borderId="6" xfId="0" applyFont="1" applyFill="1" applyBorder="1" applyAlignment="1">
      <alignment horizontal="center" vertical="center"/>
    </xf>
    <xf numFmtId="0" fontId="0" fillId="0" borderId="6" xfId="0" applyBorder="1"/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139700</xdr:colOff>
      <xdr:row>0</xdr:row>
      <xdr:rowOff>12700</xdr:rowOff>
    </xdr:from>
    <xdr:to>
      <xdr:col>41</xdr:col>
      <xdr:colOff>127000</xdr:colOff>
      <xdr:row>3</xdr:row>
      <xdr:rowOff>20985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50600" y="12700"/>
          <a:ext cx="5067300" cy="1240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3</xdr:row>
      <xdr:rowOff>369186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studioromanabaiocco.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="88" zoomScaleNormal="60" workbookViewId="0">
      <pane xSplit="4" ySplit="6" topLeftCell="E53" activePane="bottomRight" state="frozen"/>
      <selection pane="topRight" activeCell="D1" sqref="D1"/>
      <selection pane="bottomLeft" activeCell="A7" sqref="A7"/>
      <selection pane="bottomRight" activeCell="V70" sqref="V70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35" customHeight="1" thickBot="1" x14ac:dyDescent="0.25">
      <c r="A1" s="14"/>
      <c r="B1" s="23" t="s">
        <v>0</v>
      </c>
      <c r="C1" s="24"/>
      <c r="D1" s="24"/>
      <c r="E1" s="28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37.5" customHeight="1" thickBot="1" x14ac:dyDescent="0.25">
      <c r="A2" s="14"/>
      <c r="B2" s="24"/>
      <c r="C2" s="24"/>
      <c r="D2" s="24"/>
      <c r="E2" s="57" t="s">
        <v>1</v>
      </c>
      <c r="F2" s="24"/>
      <c r="G2" s="24"/>
      <c r="H2" s="24"/>
      <c r="I2" s="24"/>
      <c r="J2" s="24"/>
      <c r="K2" s="24"/>
      <c r="L2" s="58"/>
      <c r="M2" s="54">
        <v>3</v>
      </c>
      <c r="N2" s="55"/>
      <c r="O2" s="56"/>
      <c r="P2" s="57" t="s">
        <v>2</v>
      </c>
      <c r="Q2" s="24"/>
      <c r="R2" s="24"/>
      <c r="S2" s="24"/>
      <c r="T2" s="24"/>
      <c r="U2" s="24"/>
      <c r="V2" s="24"/>
      <c r="W2" s="58"/>
      <c r="X2" s="59">
        <v>2026</v>
      </c>
      <c r="Y2" s="55"/>
      <c r="Z2" s="56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25.5" customHeight="1" x14ac:dyDescent="0.2">
      <c r="A3" s="14"/>
      <c r="B3" s="53" t="s">
        <v>3</v>
      </c>
      <c r="C3" s="24"/>
      <c r="D3" s="24"/>
      <c r="E3" s="28"/>
      <c r="F3" s="24"/>
      <c r="G3" s="24"/>
      <c r="H3" s="24"/>
      <c r="I3" s="28"/>
      <c r="J3" s="24"/>
      <c r="K3" s="24"/>
      <c r="L3" s="24"/>
      <c r="M3" s="28"/>
      <c r="N3" s="24"/>
      <c r="O3" s="24"/>
      <c r="P3" s="24"/>
      <c r="Q3" s="28"/>
      <c r="R3" s="24"/>
      <c r="S3" s="24"/>
      <c r="T3" s="24"/>
      <c r="U3" s="28"/>
      <c r="V3" s="24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34" customHeight="1" x14ac:dyDescent="0.2">
      <c r="A4" s="14"/>
      <c r="B4" s="24"/>
      <c r="C4" s="24"/>
      <c r="D4" s="24"/>
      <c r="E4" s="60" t="s">
        <v>25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16"/>
    </row>
    <row r="5" spans="1:44" ht="27.75" customHeight="1" x14ac:dyDescent="0.2">
      <c r="A5" s="14"/>
      <c r="B5" s="47" t="s">
        <v>4</v>
      </c>
      <c r="C5" s="36" t="s">
        <v>5</v>
      </c>
      <c r="D5" s="48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49" t="s">
        <v>6</v>
      </c>
      <c r="AK5" s="49" t="s">
        <v>7</v>
      </c>
      <c r="AL5" s="49" t="s">
        <v>8</v>
      </c>
      <c r="AM5" s="49" t="s">
        <v>9</v>
      </c>
      <c r="AN5" s="49" t="s">
        <v>10</v>
      </c>
      <c r="AO5" s="49" t="s">
        <v>11</v>
      </c>
      <c r="AP5" s="49" t="s">
        <v>12</v>
      </c>
      <c r="AQ5" s="49" t="s">
        <v>13</v>
      </c>
      <c r="AR5" s="49" t="s">
        <v>14</v>
      </c>
    </row>
    <row r="6" spans="1:44" ht="18" customHeight="1" x14ac:dyDescent="0.2">
      <c r="A6" s="14"/>
      <c r="B6" s="37"/>
      <c r="C6" s="37"/>
      <c r="D6" s="37"/>
      <c r="E6" s="2" t="str">
        <f>IFERROR(IF(1&gt;DAY(EOMONTH(DATE($X$2,$M$2,1),0)),"",CHOOSE(WEEKDAY(DATE($X$2,$M$2,1),2),"L","M","M","G","V","S","D")),"")</f>
        <v>D</v>
      </c>
      <c r="F6" s="2" t="str">
        <f>IFERROR(IF(2&gt;DAY(EOMONTH(DATE($X$2,$M$2,1),0)),"",CHOOSE(WEEKDAY(DATE($X$2,$M$2,2),2),"L","M","M","G","V","S","D")),"")</f>
        <v>L</v>
      </c>
      <c r="G6" s="2" t="str">
        <f>IFERROR(IF(3&gt;DAY(EOMONTH(DATE($X$2,$M$2,1),0)),"",CHOOSE(WEEKDAY(DATE($X$2,$M$2,3),2),"L","M","M","G","V","S","D")),"")</f>
        <v>M</v>
      </c>
      <c r="H6" s="2" t="str">
        <f>IFERROR(IF(4&gt;DAY(EOMONTH(DATE($X$2,$M$2,1),0)),"",CHOOSE(WEEKDAY(DATE($X$2,$M$2,4),2),"L","M","M","G","V","S","D")),"")</f>
        <v>M</v>
      </c>
      <c r="I6" s="2" t="str">
        <f>IFERROR(IF(5&gt;DAY(EOMONTH(DATE($X$2,$M$2,1),0)),"",CHOOSE(WEEKDAY(DATE($X$2,$M$2,5),2),"L","M","M","G","V","S","D")),"")</f>
        <v>G</v>
      </c>
      <c r="J6" s="2" t="str">
        <f>IFERROR(IF(6&gt;DAY(EOMONTH(DATE($X$2,$M$2,1),0)),"",CHOOSE(WEEKDAY(DATE($X$2,$M$2,6),2),"L","M","M","G","V","S","D")),"")</f>
        <v>V</v>
      </c>
      <c r="K6" s="2" t="str">
        <f>IFERROR(IF(7&gt;DAY(EOMONTH(DATE($X$2,$M$2,1),0)),"",CHOOSE(WEEKDAY(DATE($X$2,$M$2,7),2),"L","M","M","G","V","S","D")),"")</f>
        <v>S</v>
      </c>
      <c r="L6" s="2" t="str">
        <f>IFERROR(IF(8&gt;DAY(EOMONTH(DATE($X$2,$M$2,1),0)),"",CHOOSE(WEEKDAY(DATE($X$2,$M$2,8),2),"L","M","M","G","V","S","D")),"")</f>
        <v>D</v>
      </c>
      <c r="M6" s="2" t="str">
        <f>IFERROR(IF(9&gt;DAY(EOMONTH(DATE($X$2,$M$2,1),0)),"",CHOOSE(WEEKDAY(DATE($X$2,$M$2,9),2),"L","M","M","G","V","S","D")),"")</f>
        <v>L</v>
      </c>
      <c r="N6" s="2" t="str">
        <f>IFERROR(IF(10&gt;DAY(EOMONTH(DATE($X$2,$M$2,1),0)),"",CHOOSE(WEEKDAY(DATE($X$2,$M$2,10),2),"L","M","M","G","V","S","D")),"")</f>
        <v>M</v>
      </c>
      <c r="O6" s="2" t="str">
        <f>IFERROR(IF(11&gt;DAY(EOMONTH(DATE($X$2,$M$2,1),0)),"",CHOOSE(WEEKDAY(DATE($X$2,$M$2,11),2),"L","M","M","G","V","S","D")),"")</f>
        <v>M</v>
      </c>
      <c r="P6" s="2" t="str">
        <f>IFERROR(IF(12&gt;DAY(EOMONTH(DATE($X$2,$M$2,1),0)),"",CHOOSE(WEEKDAY(DATE($X$2,$M$2,12),2),"L","M","M","G","V","S","D")),"")</f>
        <v>G</v>
      </c>
      <c r="Q6" s="2" t="str">
        <f>IFERROR(IF(13&gt;DAY(EOMONTH(DATE($X$2,$M$2,1),0)),"",CHOOSE(WEEKDAY(DATE($X$2,$M$2,13),2),"L","M","M","G","V","S","D")),"")</f>
        <v>V</v>
      </c>
      <c r="R6" s="2" t="str">
        <f>IFERROR(IF(14&gt;DAY(EOMONTH(DATE($X$2,$M$2,1),0)),"",CHOOSE(WEEKDAY(DATE($X$2,$M$2,14),2),"L","M","M","G","V","S","D")),"")</f>
        <v>S</v>
      </c>
      <c r="S6" s="2" t="str">
        <f>IFERROR(IF(15&gt;DAY(EOMONTH(DATE($X$2,$M$2,1),0)),"",CHOOSE(WEEKDAY(DATE($X$2,$M$2,15),2),"L","M","M","G","V","S","D")),"")</f>
        <v>D</v>
      </c>
      <c r="T6" s="2" t="str">
        <f>IFERROR(IF(16&gt;DAY(EOMONTH(DATE($X$2,$M$2,1),0)),"",CHOOSE(WEEKDAY(DATE($X$2,$M$2,16),2),"L","M","M","G","V","S","D")),"")</f>
        <v>L</v>
      </c>
      <c r="U6" s="2" t="str">
        <f>IFERROR(IF(17&gt;DAY(EOMONTH(DATE($X$2,$M$2,1),0)),"",CHOOSE(WEEKDAY(DATE($X$2,$M$2,17),2),"L","M","M","G","V","S","D")),"")</f>
        <v>M</v>
      </c>
      <c r="V6" s="2" t="str">
        <f>IFERROR(IF(18&gt;DAY(EOMONTH(DATE($X$2,$M$2,1),0)),"",CHOOSE(WEEKDAY(DATE($X$2,$M$2,18),2),"L","M","M","G","V","S","D")),"")</f>
        <v>M</v>
      </c>
      <c r="W6" s="2" t="str">
        <f>IFERROR(IF(19&gt;DAY(EOMONTH(DATE($X$2,$M$2,1),0)),"",CHOOSE(WEEKDAY(DATE($X$2,$M$2,19),2),"L","M","M","G","V","S","D")),"")</f>
        <v>G</v>
      </c>
      <c r="X6" s="2" t="str">
        <f>IFERROR(IF(20&gt;DAY(EOMONTH(DATE($X$2,$M$2,1),0)),"",CHOOSE(WEEKDAY(DATE($X$2,$M$2,20),2),"L","M","M","G","V","S","D")),"")</f>
        <v>V</v>
      </c>
      <c r="Y6" s="2" t="str">
        <f>IFERROR(IF(21&gt;DAY(EOMONTH(DATE($X$2,$M$2,1),0)),"",CHOOSE(WEEKDAY(DATE($X$2,$M$2,21),2),"L","M","M","G","V","S","D")),"")</f>
        <v>S</v>
      </c>
      <c r="Z6" s="2" t="str">
        <f>IFERROR(IF(22&gt;DAY(EOMONTH(DATE($X$2,$M$2,1),0)),"",CHOOSE(WEEKDAY(DATE($X$2,$M$2,22),2),"L","M","M","G","V","S","D")),"")</f>
        <v>D</v>
      </c>
      <c r="AA6" s="2" t="str">
        <f>IFERROR(IF(23&gt;DAY(EOMONTH(DATE($X$2,$M$2,1),0)),"",CHOOSE(WEEKDAY(DATE($X$2,$M$2,23),2),"L","M","M","G","V","S","D")),"")</f>
        <v>L</v>
      </c>
      <c r="AB6" s="2" t="str">
        <f>IFERROR(IF(24&gt;DAY(EOMONTH(DATE($X$2,$M$2,1),0)),"",CHOOSE(WEEKDAY(DATE($X$2,$M$2,24),2),"L","M","M","G","V","S","D")),"")</f>
        <v>M</v>
      </c>
      <c r="AC6" s="2" t="str">
        <f>IFERROR(IF(25&gt;DAY(EOMONTH(DATE($X$2,$M$2,1),0)),"",CHOOSE(WEEKDAY(DATE($X$2,$M$2,25),2),"L","M","M","G","V","S","D")),"")</f>
        <v>M</v>
      </c>
      <c r="AD6" s="2" t="str">
        <f>IFERROR(IF(26&gt;DAY(EOMONTH(DATE($X$2,$M$2,1),0)),"",CHOOSE(WEEKDAY(DATE($X$2,$M$2,26),2),"L","M","M","G","V","S","D")),"")</f>
        <v>G</v>
      </c>
      <c r="AE6" s="2" t="str">
        <f>IFERROR(IF(27&gt;DAY(EOMONTH(DATE($X$2,$M$2,1),0)),"",CHOOSE(WEEKDAY(DATE($X$2,$M$2,27),2),"L","M","M","G","V","S","D")),"")</f>
        <v>V</v>
      </c>
      <c r="AF6" s="2" t="str">
        <f>IFERROR(IF(28&gt;DAY(EOMONTH(DATE($X$2,$M$2,1),0)),"",CHOOSE(WEEKDAY(DATE($X$2,$M$2,28),2),"L","M","M","G","V","S","D")),"")</f>
        <v>S</v>
      </c>
      <c r="AG6" s="2" t="str">
        <f>IFERROR(IF(29&gt;DAY(EOMONTH(DATE($X$2,$M$2,1),0)),"",CHOOSE(WEEKDAY(DATE($X$2,$M$2,29),2),"L","M","M","G","V","S","D")),"")</f>
        <v>D</v>
      </c>
      <c r="AH6" s="2" t="str">
        <f>IFERROR(IF(30&gt;DAY(EOMONTH(DATE($X$2,$M$2,1),0)),"",CHOOSE(WEEKDAY(DATE($X$2,$M$2,30),2),"L","M","M","G","V","S","D")),"")</f>
        <v>L</v>
      </c>
      <c r="AI6" s="2" t="str">
        <f>IFERROR(IF(31&gt;DAY(EOMONTH(DATE($X$2,$M$2,1),0)),"",CHOOSE(WEEKDAY(DATE($X$2,$M$2,31),2),"L","M","M","G","V","S","D")),"")</f>
        <v>M</v>
      </c>
      <c r="AJ6" s="50"/>
      <c r="AK6" s="50"/>
      <c r="AL6" s="50"/>
      <c r="AM6" s="50"/>
      <c r="AN6" s="50"/>
      <c r="AO6" s="50"/>
      <c r="AP6" s="50"/>
      <c r="AQ6" s="50"/>
      <c r="AR6" s="50"/>
    </row>
    <row r="7" spans="1:44" ht="15.75" customHeight="1" x14ac:dyDescent="0.2">
      <c r="A7" s="44"/>
      <c r="B7" s="51">
        <v>1</v>
      </c>
      <c r="C7" s="29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52">
        <f>COUNTIF(E7:AI7,"&gt;0")</f>
        <v>0</v>
      </c>
      <c r="AR7" s="25"/>
    </row>
    <row r="8" spans="1:44" ht="15.75" customHeight="1" x14ac:dyDescent="0.2">
      <c r="A8" s="45"/>
      <c r="B8" s="30"/>
      <c r="C8" s="30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30"/>
      <c r="AR8" s="26"/>
    </row>
    <row r="9" spans="1:44" ht="15.75" customHeight="1" x14ac:dyDescent="0.2">
      <c r="A9" s="45"/>
      <c r="B9" s="30"/>
      <c r="C9" s="30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30"/>
      <c r="AR9" s="26"/>
    </row>
    <row r="10" spans="1:44" ht="15.75" customHeight="1" x14ac:dyDescent="0.2">
      <c r="A10" s="45"/>
      <c r="B10" s="30"/>
      <c r="C10" s="30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30"/>
      <c r="AR10" s="26"/>
    </row>
    <row r="11" spans="1:44" ht="15.75" customHeight="1" x14ac:dyDescent="0.2">
      <c r="A11" s="45"/>
      <c r="B11" s="30"/>
      <c r="C11" s="30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30"/>
      <c r="AR11" s="26"/>
    </row>
    <row r="12" spans="1:44" ht="15.75" customHeight="1" x14ac:dyDescent="0.2">
      <c r="A12" s="45"/>
      <c r="B12" s="30"/>
      <c r="C12" s="30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30"/>
      <c r="AR12" s="26"/>
    </row>
    <row r="13" spans="1:44" ht="15.75" customHeight="1" thickBot="1" x14ac:dyDescent="0.25">
      <c r="A13" s="45"/>
      <c r="B13" s="31"/>
      <c r="C13" s="31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31"/>
      <c r="AR13" s="27"/>
    </row>
    <row r="14" spans="1:44" ht="15.75" customHeight="1" thickBot="1" x14ac:dyDescent="0.25">
      <c r="A14" s="44"/>
      <c r="B14" s="38">
        <v>2</v>
      </c>
      <c r="C14" s="29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35">
        <f>COUNTIF(E14:AI14,"&gt;0")</f>
        <v>0</v>
      </c>
      <c r="AR14" s="25"/>
    </row>
    <row r="15" spans="1:44" ht="15.75" customHeight="1" x14ac:dyDescent="0.2">
      <c r="A15" s="45"/>
      <c r="B15" s="30"/>
      <c r="C15" s="30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30"/>
      <c r="AR15" s="26"/>
    </row>
    <row r="16" spans="1:44" ht="15.75" customHeight="1" x14ac:dyDescent="0.2">
      <c r="A16" s="45"/>
      <c r="B16" s="30"/>
      <c r="C16" s="30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30"/>
      <c r="AR16" s="26"/>
    </row>
    <row r="17" spans="1:44" ht="15.75" customHeight="1" x14ac:dyDescent="0.2">
      <c r="A17" s="45"/>
      <c r="B17" s="30"/>
      <c r="C17" s="30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30"/>
      <c r="AR17" s="26"/>
    </row>
    <row r="18" spans="1:44" ht="15.75" customHeight="1" x14ac:dyDescent="0.2">
      <c r="A18" s="45"/>
      <c r="B18" s="30"/>
      <c r="C18" s="30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30"/>
      <c r="AR18" s="26"/>
    </row>
    <row r="19" spans="1:44" ht="15.75" customHeight="1" x14ac:dyDescent="0.2">
      <c r="A19" s="45"/>
      <c r="B19" s="30"/>
      <c r="C19" s="30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30"/>
      <c r="AR19" s="26"/>
    </row>
    <row r="20" spans="1:44" ht="15.75" customHeight="1" thickBot="1" x14ac:dyDescent="0.25">
      <c r="A20" s="45"/>
      <c r="B20" s="31"/>
      <c r="C20" s="31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31"/>
      <c r="AR20" s="27"/>
    </row>
    <row r="21" spans="1:44" ht="15.75" customHeight="1" thickBot="1" x14ac:dyDescent="0.25">
      <c r="A21" s="44"/>
      <c r="B21" s="38">
        <v>3</v>
      </c>
      <c r="C21" s="29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35">
        <f>COUNTIF(E21:AI21,"&gt;0")</f>
        <v>0</v>
      </c>
      <c r="AR21" s="25"/>
    </row>
    <row r="22" spans="1:44" ht="15.75" customHeight="1" x14ac:dyDescent="0.2">
      <c r="A22" s="45"/>
      <c r="B22" s="30"/>
      <c r="C22" s="30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30"/>
      <c r="AR22" s="26"/>
    </row>
    <row r="23" spans="1:44" ht="15.75" customHeight="1" x14ac:dyDescent="0.2">
      <c r="A23" s="45"/>
      <c r="B23" s="30"/>
      <c r="C23" s="30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30"/>
      <c r="AR23" s="26"/>
    </row>
    <row r="24" spans="1:44" ht="15.75" customHeight="1" x14ac:dyDescent="0.2">
      <c r="A24" s="45"/>
      <c r="B24" s="30"/>
      <c r="C24" s="30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30"/>
      <c r="AR24" s="26"/>
    </row>
    <row r="25" spans="1:44" ht="15.75" customHeight="1" x14ac:dyDescent="0.2">
      <c r="A25" s="45"/>
      <c r="B25" s="30"/>
      <c r="C25" s="30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30"/>
      <c r="AR25" s="26"/>
    </row>
    <row r="26" spans="1:44" ht="15.75" customHeight="1" x14ac:dyDescent="0.2">
      <c r="A26" s="45"/>
      <c r="B26" s="30"/>
      <c r="C26" s="30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30"/>
      <c r="AR26" s="26"/>
    </row>
    <row r="27" spans="1:44" ht="15.75" customHeight="1" thickBot="1" x14ac:dyDescent="0.25">
      <c r="A27" s="45"/>
      <c r="B27" s="31"/>
      <c r="C27" s="31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31"/>
      <c r="AR27" s="27"/>
    </row>
    <row r="28" spans="1:44" ht="15.75" customHeight="1" thickBot="1" x14ac:dyDescent="0.25">
      <c r="A28" s="44"/>
      <c r="B28" s="38">
        <v>4</v>
      </c>
      <c r="C28" s="29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35">
        <f>COUNTIF(E28:AI28,"&gt;0")</f>
        <v>0</v>
      </c>
      <c r="AR28" s="25"/>
    </row>
    <row r="29" spans="1:44" ht="15.75" customHeight="1" x14ac:dyDescent="0.2">
      <c r="A29" s="45"/>
      <c r="B29" s="30"/>
      <c r="C29" s="30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30"/>
      <c r="AR29" s="26"/>
    </row>
    <row r="30" spans="1:44" ht="15.75" customHeight="1" x14ac:dyDescent="0.2">
      <c r="A30" s="45"/>
      <c r="B30" s="30"/>
      <c r="C30" s="30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30"/>
      <c r="AR30" s="26"/>
    </row>
    <row r="31" spans="1:44" ht="15.75" customHeight="1" x14ac:dyDescent="0.2">
      <c r="A31" s="45"/>
      <c r="B31" s="30"/>
      <c r="C31" s="30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30"/>
      <c r="AR31" s="26"/>
    </row>
    <row r="32" spans="1:44" ht="15.75" customHeight="1" x14ac:dyDescent="0.2">
      <c r="A32" s="45"/>
      <c r="B32" s="30"/>
      <c r="C32" s="30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30"/>
      <c r="AR32" s="26"/>
    </row>
    <row r="33" spans="1:44" ht="15.75" customHeight="1" x14ac:dyDescent="0.2">
      <c r="A33" s="45"/>
      <c r="B33" s="30"/>
      <c r="C33" s="30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30"/>
      <c r="AR33" s="26"/>
    </row>
    <row r="34" spans="1:44" ht="15.75" customHeight="1" thickBot="1" x14ac:dyDescent="0.25">
      <c r="A34" s="45"/>
      <c r="B34" s="31"/>
      <c r="C34" s="31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31"/>
      <c r="AR34" s="27"/>
    </row>
    <row r="35" spans="1:44" ht="15.75" customHeight="1" thickBot="1" x14ac:dyDescent="0.25">
      <c r="A35" s="44"/>
      <c r="B35" s="38">
        <v>5</v>
      </c>
      <c r="C35" s="29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35">
        <f>COUNTIF(E35:AI35,"&gt;0")</f>
        <v>0</v>
      </c>
      <c r="AR35" s="25"/>
    </row>
    <row r="36" spans="1:44" ht="15.75" customHeight="1" x14ac:dyDescent="0.2">
      <c r="A36" s="45"/>
      <c r="B36" s="30"/>
      <c r="C36" s="30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30"/>
      <c r="AR36" s="26"/>
    </row>
    <row r="37" spans="1:44" ht="15.75" customHeight="1" x14ac:dyDescent="0.2">
      <c r="A37" s="45"/>
      <c r="B37" s="30"/>
      <c r="C37" s="30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30"/>
      <c r="AR37" s="26"/>
    </row>
    <row r="38" spans="1:44" ht="15.75" customHeight="1" x14ac:dyDescent="0.2">
      <c r="A38" s="45"/>
      <c r="B38" s="30"/>
      <c r="C38" s="30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30"/>
      <c r="AR38" s="26"/>
    </row>
    <row r="39" spans="1:44" ht="15.75" customHeight="1" x14ac:dyDescent="0.2">
      <c r="A39" s="45"/>
      <c r="B39" s="30"/>
      <c r="C39" s="30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30"/>
      <c r="AR39" s="26"/>
    </row>
    <row r="40" spans="1:44" ht="15.75" customHeight="1" x14ac:dyDescent="0.2">
      <c r="A40" s="45"/>
      <c r="B40" s="30"/>
      <c r="C40" s="30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30"/>
      <c r="AR40" s="26"/>
    </row>
    <row r="41" spans="1:44" ht="15.75" customHeight="1" thickBot="1" x14ac:dyDescent="0.25">
      <c r="A41" s="45"/>
      <c r="B41" s="31"/>
      <c r="C41" s="31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31"/>
      <c r="AR41" s="27"/>
    </row>
    <row r="42" spans="1:44" ht="15.75" customHeight="1" thickBot="1" x14ac:dyDescent="0.25">
      <c r="A42" s="44"/>
      <c r="B42" s="38">
        <v>6</v>
      </c>
      <c r="C42" s="29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35">
        <f>COUNTIF(E42:AI42,"&gt;0")</f>
        <v>0</v>
      </c>
      <c r="AR42" s="25"/>
    </row>
    <row r="43" spans="1:44" ht="15.75" customHeight="1" x14ac:dyDescent="0.2">
      <c r="A43" s="45"/>
      <c r="B43" s="30"/>
      <c r="C43" s="30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30"/>
      <c r="AR43" s="26"/>
    </row>
    <row r="44" spans="1:44" ht="15.75" customHeight="1" x14ac:dyDescent="0.2">
      <c r="A44" s="45"/>
      <c r="B44" s="30"/>
      <c r="C44" s="30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30"/>
      <c r="AR44" s="26"/>
    </row>
    <row r="45" spans="1:44" ht="15.75" customHeight="1" x14ac:dyDescent="0.2">
      <c r="A45" s="45"/>
      <c r="B45" s="30"/>
      <c r="C45" s="30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30"/>
      <c r="AR45" s="26"/>
    </row>
    <row r="46" spans="1:44" ht="15.75" customHeight="1" x14ac:dyDescent="0.2">
      <c r="A46" s="45"/>
      <c r="B46" s="30"/>
      <c r="C46" s="30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30"/>
      <c r="AR46" s="26"/>
    </row>
    <row r="47" spans="1:44" ht="15.75" customHeight="1" x14ac:dyDescent="0.2">
      <c r="A47" s="45"/>
      <c r="B47" s="30"/>
      <c r="C47" s="30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30"/>
      <c r="AR47" s="26"/>
    </row>
    <row r="48" spans="1:44" ht="15.75" customHeight="1" thickBot="1" x14ac:dyDescent="0.25">
      <c r="A48" s="45"/>
      <c r="B48" s="31"/>
      <c r="C48" s="31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31"/>
      <c r="AR48" s="27"/>
    </row>
    <row r="49" spans="1:44" ht="15.75" customHeight="1" thickBot="1" x14ac:dyDescent="0.25">
      <c r="A49" s="44"/>
      <c r="B49" s="38">
        <v>7</v>
      </c>
      <c r="C49" s="46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35">
        <f>COUNTIF(E49:AI49,"&gt;0")</f>
        <v>0</v>
      </c>
      <c r="AR49" s="25"/>
    </row>
    <row r="50" spans="1:44" ht="15.75" customHeight="1" x14ac:dyDescent="0.2">
      <c r="A50" s="45"/>
      <c r="B50" s="30"/>
      <c r="C50" s="30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30"/>
      <c r="AR50" s="26"/>
    </row>
    <row r="51" spans="1:44" ht="15.75" customHeight="1" x14ac:dyDescent="0.2">
      <c r="A51" s="45"/>
      <c r="B51" s="30"/>
      <c r="C51" s="30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30"/>
      <c r="AR51" s="26"/>
    </row>
    <row r="52" spans="1:44" ht="15.75" customHeight="1" x14ac:dyDescent="0.2">
      <c r="A52" s="45"/>
      <c r="B52" s="30"/>
      <c r="C52" s="30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30"/>
      <c r="AR52" s="26"/>
    </row>
    <row r="53" spans="1:44" ht="15.75" customHeight="1" x14ac:dyDescent="0.2">
      <c r="A53" s="45"/>
      <c r="B53" s="30"/>
      <c r="C53" s="30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30"/>
      <c r="AR53" s="26"/>
    </row>
    <row r="54" spans="1:44" ht="15.75" customHeight="1" x14ac:dyDescent="0.2">
      <c r="A54" s="45"/>
      <c r="B54" s="30"/>
      <c r="C54" s="30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30"/>
      <c r="AR54" s="26"/>
    </row>
    <row r="55" spans="1:44" ht="15.75" customHeight="1" thickBot="1" x14ac:dyDescent="0.25">
      <c r="A55" s="45"/>
      <c r="B55" s="31"/>
      <c r="C55" s="31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31"/>
      <c r="AR55" s="27"/>
    </row>
    <row r="56" spans="1:44" ht="16" thickBot="1" x14ac:dyDescent="0.25">
      <c r="A56" s="44"/>
      <c r="B56" s="38">
        <v>8</v>
      </c>
      <c r="C56" s="46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35">
        <f>COUNTIF(E56:AI56,"&gt;0")</f>
        <v>0</v>
      </c>
      <c r="AR56" s="25"/>
    </row>
    <row r="57" spans="1:44" ht="15" customHeight="1" x14ac:dyDescent="0.2">
      <c r="A57" s="45"/>
      <c r="B57" s="30"/>
      <c r="C57" s="30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30"/>
      <c r="AR57" s="26"/>
    </row>
    <row r="58" spans="1:44" ht="15" customHeight="1" x14ac:dyDescent="0.2">
      <c r="A58" s="45"/>
      <c r="B58" s="30"/>
      <c r="C58" s="30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30"/>
      <c r="AR58" s="26"/>
    </row>
    <row r="59" spans="1:44" ht="15" customHeight="1" x14ac:dyDescent="0.2">
      <c r="A59" s="45"/>
      <c r="B59" s="30"/>
      <c r="C59" s="30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30"/>
      <c r="AR59" s="26"/>
    </row>
    <row r="60" spans="1:44" ht="15" customHeight="1" x14ac:dyDescent="0.2">
      <c r="A60" s="45"/>
      <c r="B60" s="30"/>
      <c r="C60" s="30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30"/>
      <c r="AR60" s="26"/>
    </row>
    <row r="61" spans="1:44" ht="15" customHeight="1" x14ac:dyDescent="0.2">
      <c r="A61" s="45"/>
      <c r="B61" s="30"/>
      <c r="C61" s="30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30"/>
      <c r="AR61" s="26"/>
    </row>
    <row r="62" spans="1:44" ht="16" customHeight="1" thickBot="1" x14ac:dyDescent="0.25">
      <c r="A62" s="45"/>
      <c r="B62" s="31"/>
      <c r="C62" s="31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31"/>
      <c r="AR62" s="27"/>
    </row>
    <row r="63" spans="1:44" ht="34" customHeight="1" x14ac:dyDescent="0.2">
      <c r="A63" s="14"/>
      <c r="B63" s="39" t="s">
        <v>23</v>
      </c>
      <c r="C63" s="40"/>
      <c r="D63" s="41"/>
      <c r="E63" s="32" t="s">
        <v>26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4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42" t="s">
        <v>24</v>
      </c>
      <c r="AR63" s="43"/>
    </row>
  </sheetData>
  <sheetProtection algorithmName="SHA-512" hashValue="uXz7IkwNnKjilI/Hz/CZ0V74Yl6g0tz3rpClsJ+nYXWRF4U6PfxzxVf7aO2sKzmAqwtgPwrNgoZGnO30/Yf18g==" saltValue="PkgGAmfnKf0KnwCCqwTXlw==" spinCount="100000" sheet="1" objects="1" scenarios="1"/>
  <mergeCells count="68">
    <mergeCell ref="Q3:T3"/>
    <mergeCell ref="M3:P3"/>
    <mergeCell ref="AP5:AP6"/>
    <mergeCell ref="AQ21:AQ27"/>
    <mergeCell ref="E1:V1"/>
    <mergeCell ref="M2:O2"/>
    <mergeCell ref="P2:W2"/>
    <mergeCell ref="U3:V3"/>
    <mergeCell ref="E2:L2"/>
    <mergeCell ref="X2:Z2"/>
    <mergeCell ref="E4:AQ4"/>
    <mergeCell ref="AQ5:AQ6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AQ35:AQ41"/>
    <mergeCell ref="C7:C13"/>
    <mergeCell ref="B7:B13"/>
    <mergeCell ref="AR7:AR13"/>
    <mergeCell ref="B21:B27"/>
    <mergeCell ref="AQ7:AQ13"/>
    <mergeCell ref="B5:B6"/>
    <mergeCell ref="D5:D6"/>
    <mergeCell ref="AR5:AR6"/>
    <mergeCell ref="AO5:AO6"/>
    <mergeCell ref="C21:C27"/>
    <mergeCell ref="AN5:AN6"/>
    <mergeCell ref="AR21:AR27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hyperlinks>
    <hyperlink ref="E63" r:id="rId1" xr:uid="{4343CFC4-42A5-F64B-80BF-488245BAFF7A}"/>
  </hyperlinks>
  <pageMargins left="0.25" right="0.25" top="0.75" bottom="0.75" header="0.3" footer="0.3"/>
  <pageSetup paperSize="9" scale="49" orientation="landscape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2026-03-09T10:57:09Z</dcterms:modified>
  <dc:language>en-US</dc:language>
</cp:coreProperties>
</file>